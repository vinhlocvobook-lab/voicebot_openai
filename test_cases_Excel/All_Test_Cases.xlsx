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vovinhloc/myworking/customer/cnta/voice_bot/voice_bot/test_cases_Excel/"/>
    </mc:Choice>
  </mc:AlternateContent>
  <xr:revisionPtr revIDLastSave="0" documentId="13_ncr:1_{FBF3D1D3-6DD5-1B4C-B037-881CE1A01BCD}" xr6:coauthVersionLast="47" xr6:coauthVersionMax="47" xr10:uidLastSave="{00000000-0000-0000-0000-000000000000}"/>
  <bookViews>
    <workbookView xWindow="0" yWindow="660" windowWidth="30240" windowHeight="17860" activeTab="3" xr2:uid="{00000000-000D-0000-FFFF-FFFF00000000}"/>
  </bookViews>
  <sheets>
    <sheet name="Tổng quan Tiến độ" sheetId="1" r:id="rId1"/>
    <sheet name="TC-01-connection" sheetId="2" r:id="rId2"/>
    <sheet name="TC-02-greeting" sheetId="3" r:id="rId3"/>
    <sheet name="Sheet1" sheetId="12" r:id="rId4"/>
    <sheet name="TC-03-auth" sheetId="4" r:id="rId5"/>
    <sheet name="TC-04-bill" sheetId="5" r:id="rId6"/>
    <sheet name="TC-05-water-usage" sheetId="6" r:id="rId7"/>
    <sheet name="TC-06-outage" sheetId="7" r:id="rId8"/>
    <sheet name="TC-07-incident" sheetId="8" r:id="rId9"/>
    <sheet name="TC-08-procedure" sheetId="9" r:id="rId10"/>
    <sheet name="TC-09-transfer" sheetId="10" r:id="rId11"/>
    <sheet name="TC-10-special"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 l="1"/>
  <c r="G14" i="1"/>
  <c r="F14" i="1"/>
  <c r="E14" i="1"/>
  <c r="D14" i="1"/>
  <c r="H14" i="1" s="1"/>
  <c r="G13" i="1"/>
  <c r="F13" i="1"/>
  <c r="E13" i="1"/>
  <c r="D13" i="1"/>
  <c r="H13" i="1" s="1"/>
  <c r="G12" i="1"/>
  <c r="F12" i="1"/>
  <c r="E12" i="1"/>
  <c r="D12" i="1"/>
  <c r="H12" i="1" s="1"/>
  <c r="G11" i="1"/>
  <c r="F11" i="1"/>
  <c r="E11" i="1"/>
  <c r="D11" i="1"/>
  <c r="H11" i="1" s="1"/>
  <c r="G10" i="1"/>
  <c r="F10" i="1"/>
  <c r="E10" i="1"/>
  <c r="D10" i="1"/>
  <c r="H10" i="1" s="1"/>
  <c r="G9" i="1"/>
  <c r="F9" i="1"/>
  <c r="E9" i="1"/>
  <c r="D9" i="1"/>
  <c r="H9" i="1" s="1"/>
  <c r="G8" i="1"/>
  <c r="F8" i="1"/>
  <c r="E8" i="1"/>
  <c r="D8" i="1"/>
  <c r="H8" i="1" s="1"/>
  <c r="G7" i="1"/>
  <c r="F7" i="1"/>
  <c r="E7" i="1"/>
  <c r="D7" i="1"/>
  <c r="H7" i="1" s="1"/>
  <c r="G6" i="1"/>
  <c r="F6" i="1"/>
  <c r="E6" i="1"/>
  <c r="D6" i="1"/>
  <c r="H6" i="1" s="1"/>
  <c r="G5" i="1"/>
  <c r="G15" i="1" s="1"/>
  <c r="F5" i="1"/>
  <c r="F15" i="1" s="1"/>
  <c r="E5" i="1"/>
  <c r="E15" i="1" s="1"/>
  <c r="D5" i="1"/>
  <c r="H5" i="1" s="1"/>
  <c r="D15" i="1" l="1"/>
  <c r="H15" i="1" s="1"/>
</calcChain>
</file>

<file path=xl/sharedStrings.xml><?xml version="1.0" encoding="utf-8"?>
<sst xmlns="http://schemas.openxmlformats.org/spreadsheetml/2006/main" count="391" uniqueCount="237">
  <si>
    <t>BẢNG ĐIỀU KHIỂN TIẾN ĐỘ THỰC HIỆN TEST CASE</t>
  </si>
  <si>
    <t>Nhóm Test Case</t>
  </si>
  <si>
    <t>Tên File / Sheet</t>
  </si>
  <si>
    <t>Tổng số TC</t>
  </si>
  <si>
    <t>Chưa chạy</t>
  </si>
  <si>
    <t>✅ Pass</t>
  </si>
  <si>
    <t>❌ Fail</t>
  </si>
  <si>
    <t>⏭ Skip</t>
  </si>
  <si>
    <t>Tiến độ hoàn thành</t>
  </si>
  <si>
    <t>Kết nối &amp; Khởi động</t>
  </si>
  <si>
    <t>TC-01-connection</t>
  </si>
  <si>
    <t>Chào hỏi &amp; Định tuyến</t>
  </si>
  <si>
    <t>TC-02-greeting</t>
  </si>
  <si>
    <t>Xác thực khách hàng</t>
  </si>
  <si>
    <t>TC-03-auth</t>
  </si>
  <si>
    <t>Tra cứu tiền nước</t>
  </si>
  <si>
    <t>TC-04-bill</t>
  </si>
  <si>
    <t>Tra cứu lượng nước</t>
  </si>
  <si>
    <t>TC-05-water-usage</t>
  </si>
  <si>
    <t>Thông báo cúp nước</t>
  </si>
  <si>
    <t>TC-06-outage</t>
  </si>
  <si>
    <t>Tiếp nhận sự cố</t>
  </si>
  <si>
    <t>TC-07-incident</t>
  </si>
  <si>
    <t>Hướng dẫn thủ tục</t>
  </si>
  <si>
    <t>TC-08-procedure</t>
  </si>
  <si>
    <t>Chuyển tổng đài viên</t>
  </si>
  <si>
    <t>TC-09-transfer</t>
  </si>
  <si>
    <t>Kịch bản đặc biệt</t>
  </si>
  <si>
    <t>TC-10-special</t>
  </si>
  <si>
    <t>TỔNG CỘNG</t>
  </si>
  <si>
    <t>TC-01 – Kết nối &amp; Khởi động hệ thống</t>
  </si>
  <si>
    <t>Mã Test Case</t>
  </si>
  <si>
    <t>Tiêu đề Test</t>
  </si>
  <si>
    <t>Ưu tiên</t>
  </si>
  <si>
    <t>Điều kiện tiên quyết</t>
  </si>
  <si>
    <t>Các bước thực hiện</t>
  </si>
  <si>
    <t>Kết quả mong muốn</t>
  </si>
  <si>
    <t>Kết quả thực tế</t>
  </si>
  <si>
    <t>Trạng thái</t>
  </si>
  <si>
    <t>TC-01-01</t>
  </si>
  <si>
    <t>Server khởi động thành công</t>
  </si>
  <si>
    <t>🔴 Critical</t>
  </si>
  <si>
    <t>File `.env` đã cấu hình đầy đủ `OPENAI_API_KEY`, `OPENAI_WEBHOOK_SECRET`, `OPENAI_PROJECT_ID`</t>
  </si>
  <si>
    <t>1. Chạy `npm start` trong thư mục `voice_bot`
2. Quan sát log terminal</t>
  </si>
  <si>
    <t>[INFO] [Server] Voice Bot đang chạy tại port 8000
[INFO] [Server] Webhook endpoint: POST http://0.0.0.0:8000/webhook
[INFO] [Server] SIP endpoint: sip:proj_...@sip.api.openai.com;transport=tls
- Không có error log khi khởi động
- Server lắng nghe đúng port theo `.env`</t>
  </si>
  <si>
    <t>Chưa thực hiện</t>
  </si>
  <si>
    <t>TC-01-02</t>
  </si>
  <si>
    <t>Webhook nhận event từ OpenAI hợp lệ</t>
  </si>
  <si>
    <t>Server đang chạy, webhook đã đăng ký trên platform.openai.com</t>
  </si>
  <si>
    <t>1. Gọi điện vào số tổng đài từ máy điện thoại bất kỳ
2. Quan sát log server</t>
  </si>
  <si>
    <t>[INFO] [Webhook] 1.Nhận event: realtime.call.incoming (id: evt_...)
[INFO] [Webhook] 3.Incoming call rtc_... from &lt;sip:...&gt;
[INFO] [CallMgr] Accepting call rtc_...
[INFO] [CallMgr] Call rtc_... accepted
[INFO] [WS][rtc_...] Kết nối WebSocket thành công
- Không có log `[WARN] Chữ ký không hợp lệ`
- Không có lỗi 404 WebSocket</t>
  </si>
  <si>
    <t>TC-01-03</t>
  </si>
  <si>
    <t>WebSocket kết nối và cấu hình session thành công</t>
  </si>
  <si>
    <t>TC-01-02 pass</t>
  </si>
  <si>
    <t>1. Gọi vào tổng đài
2. Đợi 3 giây sau khi kết nối
3. Quan sát log</t>
  </si>
  <si>
    <t>[INFO] [WS][rtc_...] ← session.updated OK
[INFO] [WS][rtc_...] ← response.created
[INFO] [WS][rtc_...] ← output_audio_buffer.started
- Không có log `Missing required parameter: 'session.type'`
- Có `output_audio_buffer.started` → AI đang phát audio</t>
  </si>
  <si>
    <t>TC-01-04</t>
  </si>
  <si>
    <t>Kết thúc cuộc gọi – WebSocket đóng sạch</t>
  </si>
  <si>
    <t>🟡 High</t>
  </si>
  <si>
    <t>Đang trong cuộc gọi active</t>
  </si>
  <si>
    <t>1. Cúp máy từ phía khách hàng
2. Quan sát log server</t>
  </si>
  <si>
    <t>[INFO] [WS][rtc_...] WebSocket đóng: 1006
- Không có error log sau khi đóng
- Cuộc gọi tiếp theo vẫn hoạt động bình thường (server không crash)</t>
  </si>
  <si>
    <t>TC-02 – Chào hỏi &amp; Định tuyến ban đầu</t>
  </si>
  <si>
    <t>TC-02-01</t>
  </si>
  <si>
    <t>AI chủ động chào hỏi khi cuộc gọi kết nối</t>
  </si>
  <si>
    <t>1. Gọi vào tổng đài
2. Sau khi nghe tiếng Bíp/kết nối, im lặng hoàn toàn trong 5 giây
3. Lắng nghe xem AI có tự nói không</t>
  </si>
  <si>
    <t>- AI tự động nói câu chào trong vòng 3 giây sau khi kết nối, không cần khách nói trước
- Nội dung câu chào đúng ngữ nghĩa: giới thiệu là AI của Công ty Cấp nước Trung An, hỏi cần hỗ trợ gì
- Giọng nói rõ ràng, không bị ngắt quãng giữa chừng</t>
  </si>
  <si>
    <t>TC-02-02</t>
  </si>
  <si>
    <t>AI nhận diện yêu cầu tra cứu tiền nước</t>
  </si>
  <si>
    <t>1. Gọi vào tổng đài, đợi AI chào
2. Nói: "Tôi muốn tra cứu tiền nước tháng này"
3. Quan sát phản hồi của AI</t>
  </si>
  <si>
    <t>- AI nhận diện đúng yêu cầu tra cứu tiền nước
- AI hỏi mã danh bộ/mã khách hàng để xác thực
- AI không cung cấp thông tin ngẫu nhiên khi chưa xác thực</t>
  </si>
  <si>
    <t>TC-02-03</t>
  </si>
  <si>
    <t>AI nhận diện yêu cầu không rõ ràng</t>
  </si>
  <si>
    <t>1. Gọi vào tổng đài, đợi AI chào
2. Nói: "Ừm... tôi muốn hỏi về... à thôi" (nói lẫn lộn, không rõ ý)
3. Quan sát phản hồi của AI</t>
  </si>
  <si>
    <t>- AI hỏi lại lịch sự để làm rõ: "Quý khách cần hỗ trợ gì ạ? Tôi có thể giúp tra cứu tiền nước, thông báo cúp nước..."
- AI không tự bịa đặt yêu cầu của khách
- AI không chuyển ngay sang tổng đài viên khi chưa thử hỏi lại</t>
  </si>
  <si>
    <t>TC-02-04</t>
  </si>
  <si>
    <t>Khách yêu cầu gặp người thật ngay khi bắt đầu</t>
  </si>
  <si>
    <t>1. Gọi vào tổng đài, đợi AI chào
2. Nói ngay: "Gặp tổng đài viên" hoặc "Gặp người thật"
3. Quan sát phản hồi</t>
  </si>
  <si>
    <t>- AI xác nhận đang chuyển máy: "Vâng, Quý khách vui lòng chờ, tôi đang chuyển đến tổng đài viên..."
- Log server hiện: `Tool call: transfer_to_agent`
- Cuộc gọi được SIP REFER đến hàng đợi tổng đài viên (`AGENT_QUEUE_URI`)</t>
  </si>
  <si>
    <t>TC-02-05</t>
  </si>
  <si>
    <t>Khách im lặng hoàn toàn trong 5+ giây</t>
  </si>
  <si>
    <t>1. Gọi vào tổng đài, đợi AI chào
2. Không nói gì trong ít nhất 8 giây
3. Lắng nghe phản hồi của AI</t>
  </si>
  <si>
    <t>- AI hỏi lại một lần sau khoảng 5-7 giây im lặng: "Quý khách có cần hỗ trợ gì không ạ?"
- Nếu tiếp tục im lặng thêm 5 giây → AI thông báo chuyển sang tổng đài viên hoặc kết thúc lịch sự</t>
  </si>
  <si>
    <t>TC-03 – Xác thực khách hàng (Mã danh bộ)</t>
  </si>
  <si>
    <t>TC-03-01</t>
  </si>
  <si>
    <t>Xác thực thành công với mã hợp lệ</t>
  </si>
  <si>
    <t>1. Gọi vào tổng đài
2. Nói: "Tôi muốn tra cứu tiền nước"
3. Khi AI hỏi mã khách hàng, nói: "Mã của tôi là một hai ba bốn năm sáu bảy tám chín không một" (đọc từng chữ số)
4. Quan sát phản hồi</t>
  </si>
  <si>
    <t>- AI ghép đúng thành `12345678901` và gọi verify
- AI xác nhận: "Xác thực thành công, khách hàng Nguyễn Văn An..."
- Log server: `Tool call: verify_customer({"ma_danh_bo":"12345678901"})` → `success: true`</t>
  </si>
  <si>
    <t>TC-03-02</t>
  </si>
  <si>
    <t>Xác thực thất bại lần 1 – mã sai</t>
  </si>
  <si>
    <t>1. Gọi vào tổng đài → yêu cầu tra cứu tiền nước
2. Khi AI hỏi mã, nói: "chín chín chín chín chín chín chín chín chín chín chín" (11 số 9 – không tồn tại)
3. Quan sát phản hồi</t>
  </si>
  <si>
    <t>- AI thông báo mã không hợp lệ, yêu cầu nhập lại
- AI không kết thúc cuộc gọi hay chuyển máy ngay lần đầu sai
- Câu phản hồi lịch sự: "Xin lỗi, mã khách hàng không đúng. Quý khách vui lòng kiểm tra lại..."</t>
  </si>
  <si>
    <t>TC-03-03</t>
  </si>
  <si>
    <t>Xác thực thất bại 2 lần – chuyển tổng đài viên</t>
  </si>
  <si>
    <t>1. Gọi vào tổng đài → yêu cầu tra cứu tiền nước
2. Lần 1: nói mã sai → AI yêu cầu nhập lại
3. Lần 2: nói mã sai lần nữa
4. Quan sát phản hồi</t>
  </si>
  <si>
    <t>- Sau 2 lần sai, AI không hỏi thêm lần 3
- AI thông báo: "Mã khách hàng vẫn không đúng, Quý khách sẽ được chuyển đến tổng đài viên để được hỗ trợ..."
- Log server: `Tool call: transfer_to_agent`</t>
  </si>
  <si>
    <t>TC-03-04</t>
  </si>
  <si>
    <t>Khách hàng không nhớ mã – yêu cầu gặp người</t>
  </si>
  <si>
    <t>1. Gọi vào tổng đài → yêu cầu tra cứu tiền nước
2. Khi AI hỏi mã, nói: "Tôi không nhớ mã, cho tôi gặp nhân viên"</t>
  </si>
  <si>
    <t>- AI không ép nhập mã thêm
- AI chuyển ngay sang tổng đài viên</t>
  </si>
  <si>
    <t>TC-03-05</t>
  </si>
  <si>
    <t>Các kịch bản không cần xác thực (thủ tục hành chính)</t>
  </si>
  <si>
    <t>1. Gọi vào tổng đài
2. Nói: "Tôi muốn hỏi thủ tục lắp đồng hồ nước"
3. Quan sát xem AI có hỏi mã khách hàng không</t>
  </si>
  <si>
    <t>- AI không yêu cầu mã khách hàng cho yêu cầu hướng dẫn thủ tục
- AI trả lời thông tin thủ tục ngay lập tức</t>
  </si>
  <si>
    <t>TC-04 – Tra cứu tiền nước</t>
  </si>
  <si>
    <t>TC-04-01</t>
  </si>
  <si>
    <t>Tra cứu tiền nước thành công – chưa nộp</t>
  </si>
  <si>
    <t>1. Gọi vào tổng đài
2. Nói: "Tôi muốn biết tiền nước tháng này"
3. Cung cấp mã: 12345678901
4. Lắng nghe kết quả</t>
  </si>
  <si>
    <t>- AI đọc kết quả rõ ràng: "Hóa đơn tháng 4 năm 2026 là một trăm tám mươi lăm nghìn đồng, chưa thanh toán, hạn nộp ngày hai mươi lăm tháng năm năm hai nghìn không trăm hai mươi sáu"
- Số tiền đúng: 185.000đ
- Trạng thái đúng: chưa nộp, có hạn nộp
- AI không tự tính toán hay suy đoán số tiền</t>
  </si>
  <si>
    <t>TC-04-02</t>
  </si>
  <si>
    <t>Tra cứu tiền nước – đã nộp</t>
  </si>
  <si>
    <t>1. Gọi vào tổng đài → tra cứu tiền nước
2. Cung cấp mã: 98765432100</t>
  </si>
  <si>
    <t>- AI thông báo: "Hóa đơn tháng 4 năm 2026 là ba trăm hai mươi nghìn đồng, đã thanh toán"
- Không đề cập hạn nộp (vì đã nộp rồi)</t>
  </si>
  <si>
    <t>TC-04-03</t>
  </si>
  <si>
    <t>AI không tính tiền thay backend</t>
  </si>
  <si>
    <t>1. Gọi vào tổng đài → xác thực 12345678901 thành công
2. Hỏi: "Tiền nước tháng này tại sao lại cao vậy? Tính như thế nào?"</t>
  </si>
  <si>
    <t>- AI trả lời chỉ dựa trên dữ liệu backend trả về
- AI không tự tính toán đơn giá, định mức hay suy luận con số
- AI có thể giải thích chung chung hoặc đề nghị khách liên hệ nhân viên để được giải thích chi tiết</t>
  </si>
  <si>
    <t>TC-04-04</t>
  </si>
  <si>
    <t>Khách hỏi tiền nước nhiều tháng liên tiếp trong 1 cuộc gọi</t>
  </si>
  <si>
    <t>1. Gọi vào tổng đài → xác thực 12345678901
2. Hỏi tiền nước tháng này
3. Sau khi nghe kết quả, hỏi thêm: "Lượng nước tháng này dùng bao nhiêu?"</t>
  </si>
  <si>
    <t>- AI không yêu cầu xác thực lại mã khách hàng
- AI nhớ session và gọi `get_water_usage` ngay cho 12345678901
- Kết quả hiển thị lượng nước tháng hiện tại</t>
  </si>
  <si>
    <t>TC-05 – Tra cứu lượng nước sử dụng</t>
  </si>
  <si>
    <t>TC-05-01</t>
  </si>
  <si>
    <t>Tra cứu lượng nước tháng hiện tại</t>
  </si>
  <si>
    <t>1. Gọi vào tổng đài
2. Nói: "Tháng này tôi dùng bao nhiêu mét khối nước?"
3. Cung cấp mã: 12345678901</t>
  </si>
  <si>
    <t>- AI đọc: "Tháng 4 năm 2026 Quý khách sử dụng 14 mét khối nước"
- Số liệu đúng với mock data
- AI không đọc lịch sử chi tiết theo ngày giờ</t>
  </si>
  <si>
    <t>TC-05-02</t>
  </si>
  <si>
    <t>So sánh tăng giảm so với tháng trước</t>
  </si>
  <si>
    <t>1. Gọi vào tổng đài → xác thực 12345678901
2. Nói: "Tháng này dùng nhiều hơn hay ít hơn tháng trước?"</t>
  </si>
  <si>
    <t>- AI thông báo: "Tháng 4 dùng 14 m³, tháng 3 dùng 12 m³, tăng 2 m³ so với tháng trước"
- Xu hướng đúng: tăng
- AI không tự tính thêm % hay chi phí tăng thêm</t>
  </si>
  <si>
    <t>TC-05-03</t>
  </si>
  <si>
    <t>Khách hỏi tại sao dùng nhiều nước hơn</t>
  </si>
  <si>
    <t>1. Gọi vào tổng đài → xác thực 12345678901
2. Hỏi: "Tại sao tháng này tôi dùng nhiều nước hơn vậy?"</t>
  </si>
  <si>
    <t>- AI không tự đoán lý do (mùa hè, rò rỉ...)
- AI thông báo chỉ cung cấp được số liệu, không thể phân tích nguyên nhân
- AI đề nghị nếu nghi ngờ rò rỉ → báo sự cố hoặc liên hệ nhân viên</t>
  </si>
  <si>
    <t>TC-05-04</t>
  </si>
  <si>
    <t>Khách yêu cầu xem lịch sử 6 tháng</t>
  </si>
  <si>
    <t>🟢 Medium</t>
  </si>
  <si>
    <t>1. Gọi vào tổng đài → xác thực 12345678901
2. Nói: "Cho tôi xem lịch sử dùng nước 6 tháng gần đây"</t>
  </si>
  <si>
    <t>- AI cung cấp được tối đa 3 tháng (giới hạn mock data)
- AI thông báo rõ chỉ có dữ liệu 3 tháng gần nhất
- AI không bịa số liệu cho các tháng không có dữ liệu</t>
  </si>
  <si>
    <t>TC-06 – Thông báo gián đoạn cung cấp nước / Cúp nước</t>
  </si>
  <si>
    <t>TC-06-01</t>
  </si>
  <si>
    <t>Hỏi về lịch cúp nước</t>
  </si>
  <si>
    <t>1. Gọi vào tổng đài
2. Nói: "Khu vực tôi có bị cúp nước không?"
3. Lưu ý: không cần xác thực mã khách hàng cho kịch bản này</t>
  </si>
  <si>
    <t>- AI không yêu cầu mã khách hàng
- AI đọc danh sách thông báo hiện có từ mock data
- AI đọc đầy đủ: khu vực, lý do, thời gian từ-đến
- AI đề xuất nếu cần chi tiết hơn thì liên hệ nhân viên</t>
  </si>
  <si>
    <t>TC-06-02</t>
  </si>
  <si>
    <t>Không có thông báo cúp nước</t>
  </si>
  <si>
    <t>1. Gọi vào tổng đài
2. Hỏi: "Hôm nay có cúp nước khu vực nào không?"</t>
  </si>
  <si>
    <t>- AI trả lời: "Hiện tại không có thông báo gián đoạn cung cấp nước nào"
- AI không bịa thông tin</t>
  </si>
  <si>
    <t>TC-06-03</t>
  </si>
  <si>
    <t>Khách hỏi về khu vực cụ thể không có trong danh sách</t>
  </si>
  <si>
    <t>1. Gọi vào tổng đài
2. Nói: "Quận Bình Thạnh có bị cúp nước không?"</t>
  </si>
  <si>
    <t>- AI thông báo không có thông tin cúp nước cho khu vực đó trong danh sách hiện tại
- AI không xác nhận "không bị cúp" một cách chắc chắn (vì dữ liệu có thể chưa đầy đủ)
- AI đề nghị khách theo dõi thông báo qua app SAWACO CSKH</t>
  </si>
  <si>
    <t>TC-07 – Tiếp nhận phản ánh sự cố</t>
  </si>
  <si>
    <t>TC-07-01</t>
  </si>
  <si>
    <t>Báo sự cố rò rỉ nước trong giờ hành chính</t>
  </si>
  <si>
    <t>1. Gọi vào tổng đài
2. Nói: "Tôi muốn báo sự cố, đường ống trước nhà tôi bị vỡ, nước chảy tràn ra đường"
3. Cung cấp địa chỉ khi AI hỏi: "47 Nguyễn Trãi, phường 2, Gò Vấp"
4. Xác nhận khi AI tóm tắt lại thông tin</t>
  </si>
  <si>
    <t>- AI hỏi xác nhận thông tin trước khi tạo phiếu
- AI tạo phiếu và thông báo mã phiếu: "Phiếu tiếp nhận TK...... đã được ghi nhận"
- Log server: `Tool call: create_ticket({loai: "su_co", mo_ta: "...", khu_vuc: "..."})`
- AI không đánh giá đúng/sai về sự cố</t>
  </si>
  <si>
    <t>TC-07-02</t>
  </si>
  <si>
    <t>Báo sự cố sau 22h (kịch bản đặc biệt)</t>
  </si>
  <si>
    <t>1. Gọi vào tổng đài sau 22h
2. Nói: "Tôi muốn gặp nhân viên vì đường ống bị vỡ"</t>
  </si>
  <si>
    <t>- AI không cố gắng chuyển sang tổng đài viên (vì ngoài giờ)
- AI tiếp nhận thông tin sự cố và tạo phiếu loại `khan_cap`
- AI thông báo: "Đội kỹ thuật sẽ xử lý trong thời gian sớm nhất"
- Log: `Tool call: create_ticket({loai: "khan_cap", ...})`</t>
  </si>
  <si>
    <t>TC-07-03</t>
  </si>
  <si>
    <t>Khách phản ánh không có nước (áp lực yếu)</t>
  </si>
  <si>
    <t>1. Gọi vào tổng đài
2. Nói: "Nhà tôi từ sáng đến giờ không có nước, vòi chảy rất yếu"
3. Cung cấp thông tin địa chỉ
4. Khi AI hỏi có muốn tạo phiếu không → nói "Có"</t>
  </si>
  <si>
    <t>- AI phân loại là `phan_anh` (phản ánh)
- AI tóm tắt lại trước khi tạo: "Quý khách phản ánh không có nước tại địa chỉ..., tôi ghi nhận và tạo phiếu nhé?"
- Sau khi xác nhận → tạo phiếu thành công</t>
  </si>
  <si>
    <t>TC-07-04</t>
  </si>
  <si>
    <t>Khách phản ánh nhưng từ chối tạo phiếu</t>
  </si>
  <si>
    <t>1. Gọi vào tổng đài → báo sự cố rò rỉ nước
2. Khi AI hỏi xác nhận tạo phiếu → nói: "Thôi không cần, để tôi tự xử"</t>
  </si>
  <si>
    <t>- AI không tạo phiếu khi khách từ chối
- AI hỏi có cần hỗ trợ thêm gì không
- Không có log `create_ticket` trong server</t>
  </si>
  <si>
    <t>TC-08 – Hướng dẫn thủ tục hành chính</t>
  </si>
  <si>
    <t>TC-08-01</t>
  </si>
  <si>
    <t>Hỏi thủ tục đăng ký định mức nước – hộ thường trú HCM</t>
  </si>
  <si>
    <t>1. Gọi vào tổng đài
2. Nói: "Tôi muốn đăng ký định mức nước cho hộ gia đình, có hộ khẩu ở TP.HCM"</t>
  </si>
  <si>
    <t>- AI không yêu cầu mã khách hàng
- AI hướng dẫn: cần cung cấp photo CCCD hoặc khai sinh có số định danh của tất cả nhân khẩu, hoặc app VNeID
- AI đề cập các kênh nộp hồ sơ: app SAWACO CSKH, website, hoặc văn phòng giao dịch (địa chỉ cụ thể)
- Thông tin đúng, không thiếu sót</t>
  </si>
  <si>
    <t>TC-08-02</t>
  </si>
  <si>
    <t>Hỏi thủ tục lắp đặt đồng hồ nước – doanh nghiệp đi thuê</t>
  </si>
  <si>
    <t>1. Gọi vào tổng đài
2. Nói: "Công ty tôi đang thuê mặt bằng, muốn đăng ký lắp đồng hồ nước riêng"</t>
  </si>
  <si>
    <t>- AI nhận diện đúng: doanh nghiệp + địa chỉ đi thuê
- AI hướng dẫn cần: giấy chứng nhận quyền sử dụng đất, giấy phép kinh doanh, hợp đồng thuê, giấy cam kết của chủ nhà
- AI đề cập điều khoản ký quỹ 20 triệu nếu không có giấy cam kết
- Không nhầm sang case "sở hữu"</t>
  </si>
  <si>
    <t>TC-08-03</t>
  </si>
  <si>
    <t>Hỏi thủ tục sang tên đồng hồ</t>
  </si>
  <si>
    <t>1. Gọi vào tổng đài
2. Nói: "Tôi mua nhà mới, đồng hồ nước vẫn đứng tên người cũ, cần làm gì?"</t>
  </si>
  <si>
    <t>- AI nhận diện đây là yêu cầu sang tên đồng hồ
- AI hướng dẫn cần: hóa đơn tiền nước kỳ mới nhất, sao y giấy chứng nhận quyền sử dụng đất
- AI đề cập thêm về đăng ký định mức nếu cần</t>
  </si>
  <si>
    <t>TC-08-04</t>
  </si>
  <si>
    <t>Hỏi thủ tục nâng/dời đồng hồ</t>
  </si>
  <si>
    <t>1. Gọi vào tổng đài
2. Nói: "Nhà tôi cần dời đồng hồ nước sang vị trí khác, thủ tục như thế nào?"</t>
  </si>
  <si>
    <t>- AI thông báo không cần giấy tờ trước
- AI hướng dẫn đăng ký qua app SAWACO CSKH, website, hoặc đến văn phòng
- AI nói nhân viên sẽ liên hệ hướng dẫn sau khi đăng ký</t>
  </si>
  <si>
    <t>TC-08-05</t>
  </si>
  <si>
    <t>Hỏi thủ tục mơ hồ – AI hỏi làm rõ</t>
  </si>
  <si>
    <t>1. Gọi vào tổng đài
2. Nói: "Tôi cần làm thủ tục về đồng hồ nước"</t>
  </si>
  <si>
    <t>- AI hỏi làm rõ: đăng ký mới, sang tên, hay nâng/dời?
- AI không tự giả định là loại thủ tục nào
- Sau khi khách chọn → AI hướng dẫn đúng thủ tục</t>
  </si>
  <si>
    <t>TC-09 – Chuyển tổng đài viên</t>
  </si>
  <si>
    <t>TC-09-01</t>
  </si>
  <si>
    <t>Chuyển máy theo yêu cầu – thành công</t>
  </si>
  <si>
    <t>1. Gọi vào tổng đài, đợi AI chào
2. Nói: "Cho tôi gặp tổng đài viên"
3. Quan sát phản hồi AI và log server</t>
  </si>
  <si>
    <t>- AI xác nhận đang chuyển máy: "Vâng, Quý khách vui lòng chờ trong giây lát..."
- Log server: `Tool call: transfer_to_agent({ly_do: "Khách yêu cầu"})`
- Log server: `Referring call → sip:200@&lt;asterisk_host&gt;`
- Cuộc gọi được chuyển đến tổng đài viên thật
- Máy của tổng đài viên đổ chuông</t>
  </si>
  <si>
    <t>TC-09-02</t>
  </si>
  <si>
    <t>Chuyển máy khi tổng đài viên bận / không bắt máy</t>
  </si>
  <si>
    <t>1. Gọi vào tổng đài
2. Nói: "Gặp tổng đài viên"
3. Đợi xem AI xử lý thế nào khi không chuyển được</t>
  </si>
  <si>
    <t>- AI thông báo không kết nối được tổng đài viên
- AI đề nghị: "Quý khách có thể gửi yêu cầu qua app SAWACO CSKH hoặc website www.capnuoctrungan.vn"
- Không để khách bị kẹt trong im lặng kéo dài</t>
  </si>
  <si>
    <t>TC-09-03</t>
  </si>
  <si>
    <t>AI tự chuyển máy khi gặp yêu cầu phức tạp</t>
  </si>
  <si>
    <t>1. Gọi vào tổng đài
2. Nói: "Hóa đơn tháng này của tôi sai, tôi muốn khiếu nại điều chỉnh lại"</t>
  </si>
  <si>
    <t>- AI nhận diện đây là khiếu nại hóa đơn – nằm ngoài phạm vi AI
- AI không cố xử lý hay thương lượng
- AI chuyển sang tổng đài viên với giải thích: "Yêu cầu này cần nhân viên xử lý trực tiếp"
- Log: `Tool call: transfer_to_agent`</t>
  </si>
  <si>
    <t>TC-09-04</t>
  </si>
  <si>
    <t>Chuyển máy sau 22h – AI từ chối và tiếp nhận sự cố</t>
  </si>
  <si>
    <t>1. Gọi vào tổng đài sau 22h
2. Nói: "Cho tôi gặp nhân viên"</t>
  </si>
  <si>
    <t>- AI không thực hiện lệnh REFER (không có tổng đài viên trực)
- AI thông báo: "Hiện ngoài giờ làm việc, không có tổng đài viên trực. Quý khách có thể báo sự cố để đội kỹ thuật xử lý hoặc gọi lại vào giờ hành chính."
- AI không để cuộc gọi treo vô thời hạn</t>
  </si>
  <si>
    <t>TC-10 – Kịch bản đặc biệt &amp; Edge Cases</t>
  </si>
  <si>
    <t>TC-10-01</t>
  </si>
  <si>
    <t>Cuộc gọi đồng thời nhiều khách</t>
  </si>
  <si>
    <t>1. Dùng 2 máy điện thoại, gọi vào tổng đài gần như đồng thời (cách nhau &lt; 5 giây)
2. Trên mỗi máy thực hiện các yêu cầu khác nhau:
   - Máy 1: tra cứu tiền nước 12345678901
   - Máy 2: hỏi thủ tục lắp đồng hồ
3. Quan sát log server và phản hồi trên từng máy</t>
  </si>
  <si>
    <t>- Mỗi cuộc gọi được xử lý độc lập, không lẫn lộn
- Log server hiện 2 `call_id` khác nhau hoạt động song song
- Thông tin tra cứu máy 1 không xuất hiện trên máy 2</t>
  </si>
  <si>
    <t>TC-10-02</t>
  </si>
  <si>
    <t>Khách nói tiếng Anh xen lẫn tiếng Việt</t>
  </si>
  <si>
    <t>1. Gọi vào tổng đài
2. Nói: "Hello, I want to check my water bill. Mã tôi là 12345678901"</t>
  </si>
  <si>
    <t>- AI hiểu được yêu cầu dù pha trộn ngôn ngữ
- AI phản hồi bằng tiếng Việt (theo system prompt)
- AI xử lý đúng mã 12345678901</t>
  </si>
  <si>
    <t>TC-10-03</t>
  </si>
  <si>
    <t>Khách nói thông tin sai nhiều lần, thái độ gay gắt</t>
  </si>
  <si>
    <t>1. Gọi vào tổng đài
2. Nói với giọng bực bội: "Tại sao tiền nước tháng này cao vậy? Tôi muốn khiếu nại! Mấy anh tính sai rồi!"</t>
  </si>
  <si>
    <t>- AI không bị "kích động" theo
- AI vẫn giữ giọng lịch sự, thân thiện
- AI không tranh luận hay bào chữa
- AI đề nghị chuyển sang tổng đài viên để xử lý khiếu nại</t>
  </si>
  <si>
    <t>TC-10-04</t>
  </si>
  <si>
    <t>Khách test thử nói những yêu cầu ngoài phạm vi</t>
  </si>
  <si>
    <t>1. Gọi vào tổng đài
2. Nói: "Hôm nay thời tiết thế nào?" (hoặc câu hỏi ngoài chủ đề cấp nước)</t>
  </si>
  <si>
    <t>- AI lịch sự từ chối: "Tôi chỉ có thể hỗ trợ các vấn đề liên quan đến dịch vụ cấp nước..."
- AI không trả lời về thời tiết hay các chủ đề khác
- AI hỏi lại khách có cần hỗ trợ gì về nước không</t>
  </si>
  <si>
    <t>TC-10-05</t>
  </si>
  <si>
    <t>Server restart giữa cuộc gọi</t>
  </si>
  <si>
    <t>1. Gọi vào tổng đài, đang trong cuộc hội thoại
2. Restart Node.js server (`npm run dev` tự restart sau khi save file)
3. Quan sát điều gì xảy ra với cuộc gọi đang active</t>
  </si>
  <si>
    <t>- Cuộc gọi bị ngắt (WebSocket đóng) – đây là hành vi chấp nhận được
- Asterisk xử lý BYE từ OpenAI khi WS đóng
- Server mới khởi động sẵn sàng nhận cuộc gọi tiếp theo
- Không crash hay bị treo mãi</t>
  </si>
  <si>
    <t>Kịch bản Test</t>
  </si>
  <si>
    <t>AI (Mong muốn)</t>
  </si>
  <si>
    <t>Khách hàng nói</t>
  </si>
  <si>
    <t>Data cung cấp cho AI</t>
  </si>
  <si>
    <t>AI Trả lời</t>
  </si>
  <si>
    <t>Xin chào</t>
  </si>
  <si>
    <t>Tôi muốn biết tiền nước tháng này</t>
  </si>
  <si>
    <t>{ky:5,nam:2026,tien:500 000</t>
  </si>
  <si>
    <t>Tiền nước của quý khách là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</si>
</sst>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6"/>
      <color rgb="FFFFFFFF"/>
      <name val="Arial"/>
      <family val="2"/>
    </font>
    <font>
      <b/>
      <sz val="11"/>
      <color rgb="FFFFFFFF"/>
      <name val="Arial"/>
      <family val="2"/>
    </font>
    <font>
      <b/>
      <sz val="10"/>
      <name val="Arial"/>
      <family val="2"/>
    </font>
    <font>
      <sz val="10"/>
      <name val="Arial"/>
      <family val="2"/>
    </font>
    <font>
      <b/>
      <sz val="10"/>
      <color rgb="FF1F497D"/>
      <name val="Arial"/>
      <family val="2"/>
    </font>
    <font>
      <b/>
      <sz val="11"/>
      <name val="Arial"/>
      <family val="2"/>
    </font>
    <font>
      <b/>
      <sz val="11"/>
      <color rgb="FFC00000"/>
      <name val="Arial"/>
      <family val="2"/>
    </font>
    <font>
      <b/>
      <sz val="16"/>
      <color rgb="FF1F497D"/>
      <name val="Arial"/>
      <family val="2"/>
    </font>
  </fonts>
  <fills count="5">
    <fill>
      <patternFill patternType="none"/>
    </fill>
    <fill>
      <patternFill patternType="gray125"/>
    </fill>
    <fill>
      <patternFill patternType="solid">
        <fgColor rgb="FF1F497D"/>
        <bgColor rgb="FF1F497D"/>
      </patternFill>
    </fill>
    <fill>
      <patternFill patternType="solid">
        <fgColor rgb="FF2F5597"/>
        <bgColor rgb="FF2F5597"/>
      </patternFill>
    </fill>
    <fill>
      <patternFill patternType="solid">
        <fgColor rgb="FFF2F2F2"/>
        <b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999999"/>
      </left>
      <right style="thin">
        <color rgb="FF999999"/>
      </right>
      <top style="thin">
        <color rgb="FF000000"/>
      </top>
      <bottom style="double">
        <color rgb="FF000000"/>
      </bottom>
      <diagonal/>
    </border>
  </borders>
  <cellStyleXfs count="1">
    <xf numFmtId="0" fontId="0" fillId="0" borderId="0"/>
  </cellStyleXfs>
  <cellXfs count="16">
    <xf numFmtId="0" fontId="0" fillId="0" borderId="0" xfId="0"/>
    <xf numFmtId="0" fontId="2" fillId="3" borderId="0" xfId="0" applyFont="1" applyFill="1" applyAlignment="1">
      <alignment horizontal="center"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xf>
    <xf numFmtId="0" fontId="0" fillId="0" borderId="1" xfId="0" applyBorder="1" applyAlignment="1">
      <alignment horizontal="center" vertical="center"/>
    </xf>
    <xf numFmtId="164" fontId="5" fillId="0" borderId="1" xfId="0" applyNumberFormat="1" applyFont="1" applyBorder="1" applyAlignment="1">
      <alignment horizontal="center" vertical="center"/>
    </xf>
    <xf numFmtId="0" fontId="6" fillId="4" borderId="2" xfId="0" applyFont="1" applyFill="1" applyBorder="1" applyAlignment="1">
      <alignment horizontal="left" vertical="center"/>
    </xf>
    <xf numFmtId="0" fontId="6" fillId="4" borderId="2" xfId="0" applyFont="1" applyFill="1" applyBorder="1"/>
    <xf numFmtId="0" fontId="6" fillId="4" borderId="2" xfId="0" applyFont="1" applyFill="1" applyBorder="1" applyAlignment="1">
      <alignment horizontal="center" vertical="center"/>
    </xf>
    <xf numFmtId="164" fontId="7" fillId="4" borderId="2" xfId="0" applyNumberFormat="1" applyFont="1" applyFill="1" applyBorder="1" applyAlignment="1">
      <alignment horizontal="center" vertical="center"/>
    </xf>
    <xf numFmtId="0" fontId="2" fillId="2" borderId="0" xfId="0" applyFont="1" applyFill="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1" fillId="2" borderId="0" xfId="0" applyFont="1" applyFill="1" applyAlignment="1">
      <alignment horizontal="center" vertical="center"/>
    </xf>
    <xf numFmtId="0" fontId="0" fillId="0" borderId="0" xfId="0"/>
    <xf numFmtId="0" fontId="8" fillId="0" borderId="0" xfId="0" applyFont="1" applyAlignment="1">
      <alignment horizontal="center" vertical="center"/>
    </xf>
  </cellXfs>
  <cellStyles count="1">
    <cellStyle name="Normal" xfId="0" builtinId="0"/>
  </cellStyles>
  <dxfs count="30">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
      <fill>
        <patternFill patternType="solid">
          <fgColor rgb="FFD4EDDA"/>
          <bgColor rgb="FFD4ED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workbookViewId="0">
      <selection sqref="A1:H2"/>
    </sheetView>
  </sheetViews>
  <sheetFormatPr baseColWidth="10" defaultColWidth="8.83203125" defaultRowHeight="15" x14ac:dyDescent="0.2"/>
  <cols>
    <col min="1" max="1" width="35" customWidth="1"/>
    <col min="2" max="2" width="22" customWidth="1"/>
    <col min="3" max="7" width="12" customWidth="1"/>
    <col min="8" max="8" width="20" customWidth="1"/>
  </cols>
  <sheetData>
    <row r="1" spans="1:8" ht="25" customHeight="1" x14ac:dyDescent="0.2">
      <c r="A1" s="13" t="s">
        <v>0</v>
      </c>
      <c r="B1" s="14"/>
      <c r="C1" s="14"/>
      <c r="D1" s="14"/>
      <c r="E1" s="14"/>
      <c r="F1" s="14"/>
      <c r="G1" s="14"/>
      <c r="H1" s="14"/>
    </row>
    <row r="2" spans="1:8" ht="25" customHeight="1" x14ac:dyDescent="0.2">
      <c r="A2" s="14"/>
      <c r="B2" s="14"/>
      <c r="C2" s="14"/>
      <c r="D2" s="14"/>
      <c r="E2" s="14"/>
      <c r="F2" s="14"/>
      <c r="G2" s="14"/>
      <c r="H2" s="14"/>
    </row>
    <row r="4" spans="1:8" ht="28" customHeight="1" x14ac:dyDescent="0.2">
      <c r="A4" s="1" t="s">
        <v>1</v>
      </c>
      <c r="B4" s="1" t="s">
        <v>2</v>
      </c>
      <c r="C4" s="1" t="s">
        <v>3</v>
      </c>
      <c r="D4" s="1" t="s">
        <v>4</v>
      </c>
      <c r="E4" s="1" t="s">
        <v>5</v>
      </c>
      <c r="F4" s="1" t="s">
        <v>6</v>
      </c>
      <c r="G4" s="1" t="s">
        <v>7</v>
      </c>
      <c r="H4" s="1" t="s">
        <v>8</v>
      </c>
    </row>
    <row r="5" spans="1:8" ht="25" customHeight="1" x14ac:dyDescent="0.2">
      <c r="A5" s="2" t="s">
        <v>9</v>
      </c>
      <c r="B5" s="3" t="s">
        <v>10</v>
      </c>
      <c r="C5" s="4">
        <v>4</v>
      </c>
      <c r="D5" s="4">
        <f>COUNTIF('TC-01-connection'!H3:H6, "Chưa thực hiện")</f>
        <v>4</v>
      </c>
      <c r="E5" s="4">
        <f>COUNTIF('TC-01-connection'!H3:H6, "✅ Pass")</f>
        <v>0</v>
      </c>
      <c r="F5" s="4">
        <f>COUNTIF('TC-01-connection'!H3:H6, "❌ Fail")</f>
        <v>0</v>
      </c>
      <c r="G5" s="4">
        <f>COUNTIF('TC-01-connection'!H3:H6, "⏭ Skip")</f>
        <v>0</v>
      </c>
      <c r="H5" s="5">
        <f t="shared" ref="H5:H15" si="0">IF(C5=0, 0, (C5-D5)/C5)</f>
        <v>0</v>
      </c>
    </row>
    <row r="6" spans="1:8" ht="25" customHeight="1" x14ac:dyDescent="0.2">
      <c r="A6" s="2" t="s">
        <v>11</v>
      </c>
      <c r="B6" s="3" t="s">
        <v>12</v>
      </c>
      <c r="C6" s="4">
        <v>5</v>
      </c>
      <c r="D6" s="4">
        <f>COUNTIF('TC-02-greeting'!H3:H7, "Chưa thực hiện")</f>
        <v>5</v>
      </c>
      <c r="E6" s="4">
        <f>COUNTIF('TC-02-greeting'!H3:H7, "✅ Pass")</f>
        <v>0</v>
      </c>
      <c r="F6" s="4">
        <f>COUNTIF('TC-02-greeting'!H3:H7, "❌ Fail")</f>
        <v>0</v>
      </c>
      <c r="G6" s="4">
        <f>COUNTIF('TC-02-greeting'!H3:H7, "⏭ Skip")</f>
        <v>0</v>
      </c>
      <c r="H6" s="5">
        <f t="shared" si="0"/>
        <v>0</v>
      </c>
    </row>
    <row r="7" spans="1:8" ht="25" customHeight="1" x14ac:dyDescent="0.2">
      <c r="A7" s="2" t="s">
        <v>13</v>
      </c>
      <c r="B7" s="3" t="s">
        <v>14</v>
      </c>
      <c r="C7" s="4">
        <v>5</v>
      </c>
      <c r="D7" s="4">
        <f>COUNTIF('TC-03-auth'!H3:H7, "Chưa thực hiện")</f>
        <v>5</v>
      </c>
      <c r="E7" s="4">
        <f>COUNTIF('TC-03-auth'!H3:H7, "✅ Pass")</f>
        <v>0</v>
      </c>
      <c r="F7" s="4">
        <f>COUNTIF('TC-03-auth'!H3:H7, "❌ Fail")</f>
        <v>0</v>
      </c>
      <c r="G7" s="4">
        <f>COUNTIF('TC-03-auth'!H3:H7, "⏭ Skip")</f>
        <v>0</v>
      </c>
      <c r="H7" s="5">
        <f t="shared" si="0"/>
        <v>0</v>
      </c>
    </row>
    <row r="8" spans="1:8" ht="25" customHeight="1" x14ac:dyDescent="0.2">
      <c r="A8" s="2" t="s">
        <v>15</v>
      </c>
      <c r="B8" s="3" t="s">
        <v>16</v>
      </c>
      <c r="C8" s="4">
        <v>4</v>
      </c>
      <c r="D8" s="4">
        <f>COUNTIF('TC-04-bill'!H3:H6, "Chưa thực hiện")</f>
        <v>4</v>
      </c>
      <c r="E8" s="4">
        <f>COUNTIF('TC-04-bill'!H3:H6, "✅ Pass")</f>
        <v>0</v>
      </c>
      <c r="F8" s="4">
        <f>COUNTIF('TC-04-bill'!H3:H6, "❌ Fail")</f>
        <v>0</v>
      </c>
      <c r="G8" s="4">
        <f>COUNTIF('TC-04-bill'!H3:H6, "⏭ Skip")</f>
        <v>0</v>
      </c>
      <c r="H8" s="5">
        <f t="shared" si="0"/>
        <v>0</v>
      </c>
    </row>
    <row r="9" spans="1:8" ht="25" customHeight="1" x14ac:dyDescent="0.2">
      <c r="A9" s="2" t="s">
        <v>17</v>
      </c>
      <c r="B9" s="3" t="s">
        <v>18</v>
      </c>
      <c r="C9" s="4">
        <v>4</v>
      </c>
      <c r="D9" s="4">
        <f>COUNTIF('TC-05-water-usage'!H3:H6, "Chưa thực hiện")</f>
        <v>4</v>
      </c>
      <c r="E9" s="4">
        <f>COUNTIF('TC-05-water-usage'!H3:H6, "✅ Pass")</f>
        <v>0</v>
      </c>
      <c r="F9" s="4">
        <f>COUNTIF('TC-05-water-usage'!H3:H6, "❌ Fail")</f>
        <v>0</v>
      </c>
      <c r="G9" s="4">
        <f>COUNTIF('TC-05-water-usage'!H3:H6, "⏭ Skip")</f>
        <v>0</v>
      </c>
      <c r="H9" s="5">
        <f t="shared" si="0"/>
        <v>0</v>
      </c>
    </row>
    <row r="10" spans="1:8" ht="25" customHeight="1" x14ac:dyDescent="0.2">
      <c r="A10" s="2" t="s">
        <v>19</v>
      </c>
      <c r="B10" s="3" t="s">
        <v>20</v>
      </c>
      <c r="C10" s="4">
        <v>3</v>
      </c>
      <c r="D10" s="4">
        <f>COUNTIF('TC-06-outage'!H3:H5, "Chưa thực hiện")</f>
        <v>3</v>
      </c>
      <c r="E10" s="4">
        <f>COUNTIF('TC-06-outage'!H3:H5, "✅ Pass")</f>
        <v>0</v>
      </c>
      <c r="F10" s="4">
        <f>COUNTIF('TC-06-outage'!H3:H5, "❌ Fail")</f>
        <v>0</v>
      </c>
      <c r="G10" s="4">
        <f>COUNTIF('TC-06-outage'!H3:H5, "⏭ Skip")</f>
        <v>0</v>
      </c>
      <c r="H10" s="5">
        <f t="shared" si="0"/>
        <v>0</v>
      </c>
    </row>
    <row r="11" spans="1:8" ht="25" customHeight="1" x14ac:dyDescent="0.2">
      <c r="A11" s="2" t="s">
        <v>21</v>
      </c>
      <c r="B11" s="3" t="s">
        <v>22</v>
      </c>
      <c r="C11" s="4">
        <v>4</v>
      </c>
      <c r="D11" s="4">
        <f>COUNTIF('TC-07-incident'!H3:H6, "Chưa thực hiện")</f>
        <v>4</v>
      </c>
      <c r="E11" s="4">
        <f>COUNTIF('TC-07-incident'!H3:H6, "✅ Pass")</f>
        <v>0</v>
      </c>
      <c r="F11" s="4">
        <f>COUNTIF('TC-07-incident'!H3:H6, "❌ Fail")</f>
        <v>0</v>
      </c>
      <c r="G11" s="4">
        <f>COUNTIF('TC-07-incident'!H3:H6, "⏭ Skip")</f>
        <v>0</v>
      </c>
      <c r="H11" s="5">
        <f t="shared" si="0"/>
        <v>0</v>
      </c>
    </row>
    <row r="12" spans="1:8" ht="25" customHeight="1" x14ac:dyDescent="0.2">
      <c r="A12" s="2" t="s">
        <v>23</v>
      </c>
      <c r="B12" s="3" t="s">
        <v>24</v>
      </c>
      <c r="C12" s="4">
        <v>5</v>
      </c>
      <c r="D12" s="4">
        <f>COUNTIF('TC-08-procedure'!H3:H7, "Chưa thực hiện")</f>
        <v>5</v>
      </c>
      <c r="E12" s="4">
        <f>COUNTIF('TC-08-procedure'!H3:H7, "✅ Pass")</f>
        <v>0</v>
      </c>
      <c r="F12" s="4">
        <f>COUNTIF('TC-08-procedure'!H3:H7, "❌ Fail")</f>
        <v>0</v>
      </c>
      <c r="G12" s="4">
        <f>COUNTIF('TC-08-procedure'!H3:H7, "⏭ Skip")</f>
        <v>0</v>
      </c>
      <c r="H12" s="5">
        <f t="shared" si="0"/>
        <v>0</v>
      </c>
    </row>
    <row r="13" spans="1:8" ht="25" customHeight="1" x14ac:dyDescent="0.2">
      <c r="A13" s="2" t="s">
        <v>25</v>
      </c>
      <c r="B13" s="3" t="s">
        <v>26</v>
      </c>
      <c r="C13" s="4">
        <v>4</v>
      </c>
      <c r="D13" s="4">
        <f>COUNTIF('TC-09-transfer'!H3:H6, "Chưa thực hiện")</f>
        <v>4</v>
      </c>
      <c r="E13" s="4">
        <f>COUNTIF('TC-09-transfer'!H3:H6, "✅ Pass")</f>
        <v>0</v>
      </c>
      <c r="F13" s="4">
        <f>COUNTIF('TC-09-transfer'!H3:H6, "❌ Fail")</f>
        <v>0</v>
      </c>
      <c r="G13" s="4">
        <f>COUNTIF('TC-09-transfer'!H3:H6, "⏭ Skip")</f>
        <v>0</v>
      </c>
      <c r="H13" s="5">
        <f t="shared" si="0"/>
        <v>0</v>
      </c>
    </row>
    <row r="14" spans="1:8" ht="25" customHeight="1" x14ac:dyDescent="0.2">
      <c r="A14" s="2" t="s">
        <v>27</v>
      </c>
      <c r="B14" s="3" t="s">
        <v>28</v>
      </c>
      <c r="C14" s="4">
        <v>5</v>
      </c>
      <c r="D14" s="4">
        <f>COUNTIF('TC-10-special'!H3:H7, "Chưa thực hiện")</f>
        <v>5</v>
      </c>
      <c r="E14" s="4">
        <f>COUNTIF('TC-10-special'!H3:H7, "✅ Pass")</f>
        <v>0</v>
      </c>
      <c r="F14" s="4">
        <f>COUNTIF('TC-10-special'!H3:H7, "❌ Fail")</f>
        <v>0</v>
      </c>
      <c r="G14" s="4">
        <f>COUNTIF('TC-10-special'!H3:H7, "⏭ Skip")</f>
        <v>0</v>
      </c>
      <c r="H14" s="5">
        <f t="shared" si="0"/>
        <v>0</v>
      </c>
    </row>
    <row r="15" spans="1:8" ht="30" customHeight="1" x14ac:dyDescent="0.2">
      <c r="A15" s="6" t="s">
        <v>29</v>
      </c>
      <c r="B15" s="7"/>
      <c r="C15" s="8">
        <f>SUM(C5:C14)</f>
        <v>43</v>
      </c>
      <c r="D15" s="8">
        <f>SUM(D5:D14)</f>
        <v>43</v>
      </c>
      <c r="E15" s="8">
        <f>SUM(E5:E14)</f>
        <v>0</v>
      </c>
      <c r="F15" s="8">
        <f>SUM(F5:F14)</f>
        <v>0</v>
      </c>
      <c r="G15" s="8">
        <f>SUM(G5:G14)</f>
        <v>0</v>
      </c>
      <c r="H15" s="9">
        <f t="shared" si="0"/>
        <v>0</v>
      </c>
    </row>
  </sheetData>
  <mergeCells count="1">
    <mergeCell ref="A1: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30</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39</v>
      </c>
      <c r="B3" s="12" t="s">
        <v>40</v>
      </c>
      <c r="C3" s="11" t="s">
        <v>41</v>
      </c>
      <c r="D3" s="12" t="s">
        <v>42</v>
      </c>
      <c r="E3" s="12" t="s">
        <v>43</v>
      </c>
      <c r="F3" s="12" t="s">
        <v>44</v>
      </c>
      <c r="G3" s="12"/>
      <c r="H3" s="11" t="s">
        <v>45</v>
      </c>
    </row>
    <row r="4" spans="1:8" ht="80" customHeight="1" x14ac:dyDescent="0.2">
      <c r="A4" s="11" t="s">
        <v>46</v>
      </c>
      <c r="B4" s="12" t="s">
        <v>47</v>
      </c>
      <c r="C4" s="11" t="s">
        <v>41</v>
      </c>
      <c r="D4" s="12" t="s">
        <v>48</v>
      </c>
      <c r="E4" s="12" t="s">
        <v>49</v>
      </c>
      <c r="F4" s="12" t="s">
        <v>50</v>
      </c>
      <c r="G4" s="12"/>
      <c r="H4" s="11" t="s">
        <v>45</v>
      </c>
    </row>
    <row r="5" spans="1:8" ht="80" customHeight="1" x14ac:dyDescent="0.2">
      <c r="A5" s="11" t="s">
        <v>51</v>
      </c>
      <c r="B5" s="12" t="s">
        <v>52</v>
      </c>
      <c r="C5" s="11" t="s">
        <v>41</v>
      </c>
      <c r="D5" s="12" t="s">
        <v>53</v>
      </c>
      <c r="E5" s="12" t="s">
        <v>54</v>
      </c>
      <c r="F5" s="12" t="s">
        <v>55</v>
      </c>
      <c r="G5" s="12"/>
      <c r="H5" s="11" t="s">
        <v>45</v>
      </c>
    </row>
    <row r="6" spans="1:8" ht="80" customHeight="1" x14ac:dyDescent="0.2">
      <c r="A6" s="11" t="s">
        <v>56</v>
      </c>
      <c r="B6" s="12" t="s">
        <v>57</v>
      </c>
      <c r="C6" s="11" t="s">
        <v>58</v>
      </c>
      <c r="D6" s="12" t="s">
        <v>59</v>
      </c>
      <c r="E6" s="12" t="s">
        <v>60</v>
      </c>
      <c r="F6" s="12" t="s">
        <v>61</v>
      </c>
      <c r="G6" s="12"/>
      <c r="H6" s="11" t="s">
        <v>45</v>
      </c>
    </row>
  </sheetData>
  <mergeCells count="1">
    <mergeCell ref="A1:H1"/>
  </mergeCells>
  <conditionalFormatting sqref="H3:H6">
    <cfRule type="cellIs" dxfId="29" priority="1" stopIfTrue="1" operator="equal">
      <formula>"✅ Pass"</formula>
    </cfRule>
    <cfRule type="cellIs" dxfId="28" priority="2" stopIfTrue="1" operator="equal">
      <formula>"❌ Fail"</formula>
    </cfRule>
    <cfRule type="cellIs" dxfId="27"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xr:uid="{00000000-0002-0000-0100-000000000000}">
      <formula1>"Chưa thực hiện,✅ Pass,❌ Fail,⏭ Skip"</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activeCell="A2" sqref="A2"/>
    </sheetView>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62</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63</v>
      </c>
      <c r="B3" s="12" t="s">
        <v>64</v>
      </c>
      <c r="C3" s="11" t="s">
        <v>41</v>
      </c>
      <c r="D3" s="12"/>
      <c r="E3" s="12" t="s">
        <v>65</v>
      </c>
      <c r="F3" s="12" t="s">
        <v>66</v>
      </c>
      <c r="G3" s="12"/>
      <c r="H3" s="11" t="s">
        <v>45</v>
      </c>
    </row>
    <row r="4" spans="1:8" ht="80" customHeight="1" x14ac:dyDescent="0.2">
      <c r="A4" s="11" t="s">
        <v>67</v>
      </c>
      <c r="B4" s="12" t="s">
        <v>68</v>
      </c>
      <c r="C4" s="11" t="s">
        <v>41</v>
      </c>
      <c r="D4" s="12"/>
      <c r="E4" s="12" t="s">
        <v>69</v>
      </c>
      <c r="F4" s="12" t="s">
        <v>70</v>
      </c>
      <c r="G4" s="12"/>
      <c r="H4" s="11" t="s">
        <v>45</v>
      </c>
    </row>
    <row r="5" spans="1:8" ht="80" customHeight="1" x14ac:dyDescent="0.2">
      <c r="A5" s="11" t="s">
        <v>71</v>
      </c>
      <c r="B5" s="12" t="s">
        <v>72</v>
      </c>
      <c r="C5" s="11" t="s">
        <v>58</v>
      </c>
      <c r="D5" s="12"/>
      <c r="E5" s="12" t="s">
        <v>73</v>
      </c>
      <c r="F5" s="12" t="s">
        <v>74</v>
      </c>
      <c r="G5" s="12"/>
      <c r="H5" s="11" t="s">
        <v>45</v>
      </c>
    </row>
    <row r="6" spans="1:8" ht="80" customHeight="1" x14ac:dyDescent="0.2">
      <c r="A6" s="11" t="s">
        <v>75</v>
      </c>
      <c r="B6" s="12" t="s">
        <v>76</v>
      </c>
      <c r="C6" s="11" t="s">
        <v>41</v>
      </c>
      <c r="D6" s="12"/>
      <c r="E6" s="12" t="s">
        <v>77</v>
      </c>
      <c r="F6" s="12" t="s">
        <v>78</v>
      </c>
      <c r="G6" s="12"/>
      <c r="H6" s="11" t="s">
        <v>45</v>
      </c>
    </row>
    <row r="7" spans="1:8" ht="80" customHeight="1" x14ac:dyDescent="0.2">
      <c r="A7" s="11" t="s">
        <v>79</v>
      </c>
      <c r="B7" s="12" t="s">
        <v>80</v>
      </c>
      <c r="C7" s="11" t="s">
        <v>58</v>
      </c>
      <c r="D7" s="12"/>
      <c r="E7" s="12" t="s">
        <v>81</v>
      </c>
      <c r="F7" s="12" t="s">
        <v>82</v>
      </c>
      <c r="G7" s="12"/>
      <c r="H7" s="11" t="s">
        <v>45</v>
      </c>
    </row>
  </sheetData>
  <mergeCells count="1">
    <mergeCell ref="A1:H1"/>
  </mergeCells>
  <conditionalFormatting sqref="H3:H7">
    <cfRule type="cellIs" dxfId="26" priority="1" stopIfTrue="1" operator="equal">
      <formula>"✅ Pass"</formula>
    </cfRule>
    <cfRule type="cellIs" dxfId="25" priority="2" stopIfTrue="1" operator="equal">
      <formula>"❌ Fail"</formula>
    </cfRule>
    <cfRule type="cellIs" dxfId="24"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H7" xr:uid="{00000000-0002-0000-0200-000000000000}">
      <formula1>"Chưa thực hiện,✅ Pass,❌ Fail,⏭ Skip"</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5E4B-C641-AE4D-AE77-EC94FC942F50}">
  <dimension ref="A1:D5"/>
  <sheetViews>
    <sheetView tabSelected="1" workbookViewId="0">
      <selection activeCell="D6" sqref="D6"/>
    </sheetView>
  </sheetViews>
  <sheetFormatPr baseColWidth="10" defaultRowHeight="15" x14ac:dyDescent="0.2"/>
  <cols>
    <col min="1" max="1" width="13.33203125" bestFit="1" customWidth="1"/>
    <col min="2" max="2" width="27.5" bestFit="1" customWidth="1"/>
    <col min="3" max="3" width="23.83203125" bestFit="1" customWidth="1"/>
  </cols>
  <sheetData>
    <row r="1" spans="1:4" x14ac:dyDescent="0.2">
      <c r="A1" t="s">
        <v>228</v>
      </c>
    </row>
    <row r="3" spans="1:4" x14ac:dyDescent="0.2">
      <c r="A3" t="s">
        <v>229</v>
      </c>
      <c r="B3" t="s">
        <v>230</v>
      </c>
      <c r="C3" t="s">
        <v>231</v>
      </c>
      <c r="D3" t="s">
        <v>232</v>
      </c>
    </row>
    <row r="4" spans="1:4" x14ac:dyDescent="0.2">
      <c r="A4" t="s">
        <v>233</v>
      </c>
    </row>
    <row r="5" spans="1:4" x14ac:dyDescent="0.2">
      <c r="B5" t="s">
        <v>234</v>
      </c>
      <c r="C5" t="s">
        <v>235</v>
      </c>
      <c r="D5" t="s">
        <v>236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83</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84</v>
      </c>
      <c r="B3" s="12" t="s">
        <v>85</v>
      </c>
      <c r="C3" s="11" t="s">
        <v>41</v>
      </c>
      <c r="D3" s="12"/>
      <c r="E3" s="12" t="s">
        <v>86</v>
      </c>
      <c r="F3" s="12" t="s">
        <v>87</v>
      </c>
      <c r="G3" s="12"/>
      <c r="H3" s="11" t="s">
        <v>45</v>
      </c>
    </row>
    <row r="4" spans="1:8" ht="80" customHeight="1" x14ac:dyDescent="0.2">
      <c r="A4" s="11" t="s">
        <v>88</v>
      </c>
      <c r="B4" s="12" t="s">
        <v>89</v>
      </c>
      <c r="C4" s="11" t="s">
        <v>41</v>
      </c>
      <c r="D4" s="12"/>
      <c r="E4" s="12" t="s">
        <v>90</v>
      </c>
      <c r="F4" s="12" t="s">
        <v>91</v>
      </c>
      <c r="G4" s="12"/>
      <c r="H4" s="11" t="s">
        <v>45</v>
      </c>
    </row>
    <row r="5" spans="1:8" ht="80" customHeight="1" x14ac:dyDescent="0.2">
      <c r="A5" s="11" t="s">
        <v>92</v>
      </c>
      <c r="B5" s="12" t="s">
        <v>93</v>
      </c>
      <c r="C5" s="11" t="s">
        <v>41</v>
      </c>
      <c r="D5" s="12"/>
      <c r="E5" s="12" t="s">
        <v>94</v>
      </c>
      <c r="F5" s="12" t="s">
        <v>95</v>
      </c>
      <c r="G5" s="12"/>
      <c r="H5" s="11" t="s">
        <v>45</v>
      </c>
    </row>
    <row r="6" spans="1:8" ht="80" customHeight="1" x14ac:dyDescent="0.2">
      <c r="A6" s="11" t="s">
        <v>96</v>
      </c>
      <c r="B6" s="12" t="s">
        <v>97</v>
      </c>
      <c r="C6" s="11" t="s">
        <v>58</v>
      </c>
      <c r="D6" s="12"/>
      <c r="E6" s="12" t="s">
        <v>98</v>
      </c>
      <c r="F6" s="12" t="s">
        <v>99</v>
      </c>
      <c r="G6" s="12"/>
      <c r="H6" s="11" t="s">
        <v>45</v>
      </c>
    </row>
    <row r="7" spans="1:8" ht="80" customHeight="1" x14ac:dyDescent="0.2">
      <c r="A7" s="11" t="s">
        <v>100</v>
      </c>
      <c r="B7" s="12" t="s">
        <v>101</v>
      </c>
      <c r="C7" s="11" t="s">
        <v>58</v>
      </c>
      <c r="D7" s="12"/>
      <c r="E7" s="12" t="s">
        <v>102</v>
      </c>
      <c r="F7" s="12" t="s">
        <v>103</v>
      </c>
      <c r="G7" s="12"/>
      <c r="H7" s="11" t="s">
        <v>45</v>
      </c>
    </row>
  </sheetData>
  <mergeCells count="1">
    <mergeCell ref="A1:H1"/>
  </mergeCells>
  <conditionalFormatting sqref="H3:H7">
    <cfRule type="cellIs" dxfId="23" priority="1" stopIfTrue="1" operator="equal">
      <formula>"✅ Pass"</formula>
    </cfRule>
    <cfRule type="cellIs" dxfId="22" priority="2" stopIfTrue="1" operator="equal">
      <formula>"❌ Fail"</formula>
    </cfRule>
    <cfRule type="cellIs" dxfId="21"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H7" xr:uid="{00000000-0002-0000-0300-000000000000}">
      <formula1>"Chưa thực hiện,✅ Pass,❌ Fail,⏭ Skip"</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104</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105</v>
      </c>
      <c r="B3" s="12" t="s">
        <v>106</v>
      </c>
      <c r="C3" s="11" t="s">
        <v>41</v>
      </c>
      <c r="D3" s="12"/>
      <c r="E3" s="12" t="s">
        <v>107</v>
      </c>
      <c r="F3" s="12" t="s">
        <v>108</v>
      </c>
      <c r="G3" s="12"/>
      <c r="H3" s="11" t="s">
        <v>45</v>
      </c>
    </row>
    <row r="4" spans="1:8" ht="80" customHeight="1" x14ac:dyDescent="0.2">
      <c r="A4" s="11" t="s">
        <v>109</v>
      </c>
      <c r="B4" s="12" t="s">
        <v>110</v>
      </c>
      <c r="C4" s="11" t="s">
        <v>58</v>
      </c>
      <c r="D4" s="12"/>
      <c r="E4" s="12" t="s">
        <v>111</v>
      </c>
      <c r="F4" s="12" t="s">
        <v>112</v>
      </c>
      <c r="G4" s="12"/>
      <c r="H4" s="11" t="s">
        <v>45</v>
      </c>
    </row>
    <row r="5" spans="1:8" ht="80" customHeight="1" x14ac:dyDescent="0.2">
      <c r="A5" s="11" t="s">
        <v>113</v>
      </c>
      <c r="B5" s="12" t="s">
        <v>114</v>
      </c>
      <c r="C5" s="11" t="s">
        <v>41</v>
      </c>
      <c r="D5" s="12"/>
      <c r="E5" s="12" t="s">
        <v>115</v>
      </c>
      <c r="F5" s="12" t="s">
        <v>116</v>
      </c>
      <c r="G5" s="12"/>
      <c r="H5" s="11" t="s">
        <v>45</v>
      </c>
    </row>
    <row r="6" spans="1:8" ht="80" customHeight="1" x14ac:dyDescent="0.2">
      <c r="A6" s="11" t="s">
        <v>117</v>
      </c>
      <c r="B6" s="12" t="s">
        <v>118</v>
      </c>
      <c r="C6" s="11" t="s">
        <v>58</v>
      </c>
      <c r="D6" s="12"/>
      <c r="E6" s="12" t="s">
        <v>119</v>
      </c>
      <c r="F6" s="12" t="s">
        <v>120</v>
      </c>
      <c r="G6" s="12"/>
      <c r="H6" s="11" t="s">
        <v>45</v>
      </c>
    </row>
  </sheetData>
  <mergeCells count="1">
    <mergeCell ref="A1:H1"/>
  </mergeCells>
  <conditionalFormatting sqref="H3:H6">
    <cfRule type="cellIs" dxfId="20" priority="1" stopIfTrue="1" operator="equal">
      <formula>"✅ Pass"</formula>
    </cfRule>
    <cfRule type="cellIs" dxfId="19" priority="2" stopIfTrue="1" operator="equal">
      <formula>"❌ Fail"</formula>
    </cfRule>
    <cfRule type="cellIs" dxfId="18"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xr:uid="{00000000-0002-0000-0400-000000000000}">
      <formula1>"Chưa thực hiện,✅ Pass,❌ Fail,⏭ Skip"</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121</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122</v>
      </c>
      <c r="B3" s="12" t="s">
        <v>123</v>
      </c>
      <c r="C3" s="11" t="s">
        <v>58</v>
      </c>
      <c r="D3" s="12"/>
      <c r="E3" s="12" t="s">
        <v>124</v>
      </c>
      <c r="F3" s="12" t="s">
        <v>125</v>
      </c>
      <c r="G3" s="12"/>
      <c r="H3" s="11" t="s">
        <v>45</v>
      </c>
    </row>
    <row r="4" spans="1:8" ht="80" customHeight="1" x14ac:dyDescent="0.2">
      <c r="A4" s="11" t="s">
        <v>126</v>
      </c>
      <c r="B4" s="12" t="s">
        <v>127</v>
      </c>
      <c r="C4" s="11" t="s">
        <v>58</v>
      </c>
      <c r="D4" s="12"/>
      <c r="E4" s="12" t="s">
        <v>128</v>
      </c>
      <c r="F4" s="12" t="s">
        <v>129</v>
      </c>
      <c r="G4" s="12"/>
      <c r="H4" s="11" t="s">
        <v>45</v>
      </c>
    </row>
    <row r="5" spans="1:8" ht="80" customHeight="1" x14ac:dyDescent="0.2">
      <c r="A5" s="11" t="s">
        <v>130</v>
      </c>
      <c r="B5" s="12" t="s">
        <v>131</v>
      </c>
      <c r="C5" s="11" t="s">
        <v>58</v>
      </c>
      <c r="D5" s="12"/>
      <c r="E5" s="12" t="s">
        <v>132</v>
      </c>
      <c r="F5" s="12" t="s">
        <v>133</v>
      </c>
      <c r="G5" s="12"/>
      <c r="H5" s="11" t="s">
        <v>45</v>
      </c>
    </row>
    <row r="6" spans="1:8" ht="80" customHeight="1" x14ac:dyDescent="0.2">
      <c r="A6" s="11" t="s">
        <v>134</v>
      </c>
      <c r="B6" s="12" t="s">
        <v>135</v>
      </c>
      <c r="C6" s="11" t="s">
        <v>136</v>
      </c>
      <c r="D6" s="12"/>
      <c r="E6" s="12" t="s">
        <v>137</v>
      </c>
      <c r="F6" s="12" t="s">
        <v>138</v>
      </c>
      <c r="G6" s="12"/>
      <c r="H6" s="11" t="s">
        <v>45</v>
      </c>
    </row>
  </sheetData>
  <mergeCells count="1">
    <mergeCell ref="A1:H1"/>
  </mergeCells>
  <conditionalFormatting sqref="H3:H6">
    <cfRule type="cellIs" dxfId="17" priority="1" stopIfTrue="1" operator="equal">
      <formula>"✅ Pass"</formula>
    </cfRule>
    <cfRule type="cellIs" dxfId="16" priority="2" stopIfTrue="1" operator="equal">
      <formula>"❌ Fail"</formula>
    </cfRule>
    <cfRule type="cellIs" dxfId="15"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xr:uid="{00000000-0002-0000-0500-000000000000}">
      <formula1>"Chưa thực hiện,✅ Pass,❌ Fail,⏭ Skip"</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139</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140</v>
      </c>
      <c r="B3" s="12" t="s">
        <v>141</v>
      </c>
      <c r="C3" s="11" t="s">
        <v>58</v>
      </c>
      <c r="D3" s="12"/>
      <c r="E3" s="12" t="s">
        <v>142</v>
      </c>
      <c r="F3" s="12" t="s">
        <v>143</v>
      </c>
      <c r="G3" s="12"/>
      <c r="H3" s="11" t="s">
        <v>45</v>
      </c>
    </row>
    <row r="4" spans="1:8" ht="80" customHeight="1" x14ac:dyDescent="0.2">
      <c r="A4" s="11" t="s">
        <v>144</v>
      </c>
      <c r="B4" s="12" t="s">
        <v>145</v>
      </c>
      <c r="C4" s="11" t="s">
        <v>58</v>
      </c>
      <c r="D4" s="12"/>
      <c r="E4" s="12" t="s">
        <v>146</v>
      </c>
      <c r="F4" s="12" t="s">
        <v>147</v>
      </c>
      <c r="G4" s="12"/>
      <c r="H4" s="11" t="s">
        <v>45</v>
      </c>
    </row>
    <row r="5" spans="1:8" ht="80" customHeight="1" x14ac:dyDescent="0.2">
      <c r="A5" s="11" t="s">
        <v>148</v>
      </c>
      <c r="B5" s="12" t="s">
        <v>149</v>
      </c>
      <c r="C5" s="11" t="s">
        <v>136</v>
      </c>
      <c r="D5" s="12"/>
      <c r="E5" s="12" t="s">
        <v>150</v>
      </c>
      <c r="F5" s="12" t="s">
        <v>151</v>
      </c>
      <c r="G5" s="12"/>
      <c r="H5" s="11" t="s">
        <v>45</v>
      </c>
    </row>
  </sheetData>
  <mergeCells count="1">
    <mergeCell ref="A1:H1"/>
  </mergeCells>
  <conditionalFormatting sqref="H3:H5">
    <cfRule type="cellIs" dxfId="14" priority="1" stopIfTrue="1" operator="equal">
      <formula>"✅ Pass"</formula>
    </cfRule>
    <cfRule type="cellIs" dxfId="13" priority="2" stopIfTrue="1" operator="equal">
      <formula>"❌ Fail"</formula>
    </cfRule>
    <cfRule type="cellIs" dxfId="12"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xr:uid="{00000000-0002-0000-0600-000000000000}">
      <formula1>"Chưa thực hiện,✅ Pass,❌ Fail,⏭ Skip"</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152</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153</v>
      </c>
      <c r="B3" s="12" t="s">
        <v>154</v>
      </c>
      <c r="C3" s="11" t="s">
        <v>41</v>
      </c>
      <c r="D3" s="12"/>
      <c r="E3" s="12" t="s">
        <v>155</v>
      </c>
      <c r="F3" s="12" t="s">
        <v>156</v>
      </c>
      <c r="G3" s="12"/>
      <c r="H3" s="11" t="s">
        <v>45</v>
      </c>
    </row>
    <row r="4" spans="1:8" ht="80" customHeight="1" x14ac:dyDescent="0.2">
      <c r="A4" s="11" t="s">
        <v>157</v>
      </c>
      <c r="B4" s="12" t="s">
        <v>158</v>
      </c>
      <c r="C4" s="11" t="s">
        <v>41</v>
      </c>
      <c r="D4" s="12"/>
      <c r="E4" s="12" t="s">
        <v>159</v>
      </c>
      <c r="F4" s="12" t="s">
        <v>160</v>
      </c>
      <c r="G4" s="12"/>
      <c r="H4" s="11" t="s">
        <v>45</v>
      </c>
    </row>
    <row r="5" spans="1:8" ht="80" customHeight="1" x14ac:dyDescent="0.2">
      <c r="A5" s="11" t="s">
        <v>161</v>
      </c>
      <c r="B5" s="12" t="s">
        <v>162</v>
      </c>
      <c r="C5" s="11" t="s">
        <v>58</v>
      </c>
      <c r="D5" s="12"/>
      <c r="E5" s="12" t="s">
        <v>163</v>
      </c>
      <c r="F5" s="12" t="s">
        <v>164</v>
      </c>
      <c r="G5" s="12"/>
      <c r="H5" s="11" t="s">
        <v>45</v>
      </c>
    </row>
    <row r="6" spans="1:8" ht="80" customHeight="1" x14ac:dyDescent="0.2">
      <c r="A6" s="11" t="s">
        <v>165</v>
      </c>
      <c r="B6" s="12" t="s">
        <v>166</v>
      </c>
      <c r="C6" s="11" t="s">
        <v>136</v>
      </c>
      <c r="D6" s="12"/>
      <c r="E6" s="12" t="s">
        <v>167</v>
      </c>
      <c r="F6" s="12" t="s">
        <v>168</v>
      </c>
      <c r="G6" s="12"/>
      <c r="H6" s="11" t="s">
        <v>45</v>
      </c>
    </row>
  </sheetData>
  <mergeCells count="1">
    <mergeCell ref="A1:H1"/>
  </mergeCells>
  <conditionalFormatting sqref="H3:H6">
    <cfRule type="cellIs" dxfId="11" priority="1" stopIfTrue="1" operator="equal">
      <formula>"✅ Pass"</formula>
    </cfRule>
    <cfRule type="cellIs" dxfId="10" priority="2" stopIfTrue="1" operator="equal">
      <formula>"❌ Fail"</formula>
    </cfRule>
    <cfRule type="cellIs" dxfId="9"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xr:uid="{00000000-0002-0000-0700-000000000000}">
      <formula1>"Chưa thực hiện,✅ Pass,❌ Fail,⏭ Skip"</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169</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170</v>
      </c>
      <c r="B3" s="12" t="s">
        <v>171</v>
      </c>
      <c r="C3" s="11" t="s">
        <v>58</v>
      </c>
      <c r="D3" s="12"/>
      <c r="E3" s="12" t="s">
        <v>172</v>
      </c>
      <c r="F3" s="12" t="s">
        <v>173</v>
      </c>
      <c r="G3" s="12"/>
      <c r="H3" s="11" t="s">
        <v>45</v>
      </c>
    </row>
    <row r="4" spans="1:8" ht="80" customHeight="1" x14ac:dyDescent="0.2">
      <c r="A4" s="11" t="s">
        <v>174</v>
      </c>
      <c r="B4" s="12" t="s">
        <v>175</v>
      </c>
      <c r="C4" s="11" t="s">
        <v>58</v>
      </c>
      <c r="D4" s="12"/>
      <c r="E4" s="12" t="s">
        <v>176</v>
      </c>
      <c r="F4" s="12" t="s">
        <v>177</v>
      </c>
      <c r="G4" s="12"/>
      <c r="H4" s="11" t="s">
        <v>45</v>
      </c>
    </row>
    <row r="5" spans="1:8" ht="80" customHeight="1" x14ac:dyDescent="0.2">
      <c r="A5" s="11" t="s">
        <v>178</v>
      </c>
      <c r="B5" s="12" t="s">
        <v>179</v>
      </c>
      <c r="C5" s="11" t="s">
        <v>58</v>
      </c>
      <c r="D5" s="12"/>
      <c r="E5" s="12" t="s">
        <v>180</v>
      </c>
      <c r="F5" s="12" t="s">
        <v>181</v>
      </c>
      <c r="G5" s="12"/>
      <c r="H5" s="11" t="s">
        <v>45</v>
      </c>
    </row>
    <row r="6" spans="1:8" ht="80" customHeight="1" x14ac:dyDescent="0.2">
      <c r="A6" s="11" t="s">
        <v>182</v>
      </c>
      <c r="B6" s="12" t="s">
        <v>183</v>
      </c>
      <c r="C6" s="11" t="s">
        <v>136</v>
      </c>
      <c r="D6" s="12"/>
      <c r="E6" s="12" t="s">
        <v>184</v>
      </c>
      <c r="F6" s="12" t="s">
        <v>185</v>
      </c>
      <c r="G6" s="12"/>
      <c r="H6" s="11" t="s">
        <v>45</v>
      </c>
    </row>
    <row r="7" spans="1:8" ht="80" customHeight="1" x14ac:dyDescent="0.2">
      <c r="A7" s="11" t="s">
        <v>186</v>
      </c>
      <c r="B7" s="12" t="s">
        <v>187</v>
      </c>
      <c r="C7" s="11" t="s">
        <v>136</v>
      </c>
      <c r="D7" s="12"/>
      <c r="E7" s="12" t="s">
        <v>188</v>
      </c>
      <c r="F7" s="12" t="s">
        <v>189</v>
      </c>
      <c r="G7" s="12"/>
      <c r="H7" s="11" t="s">
        <v>45</v>
      </c>
    </row>
  </sheetData>
  <mergeCells count="1">
    <mergeCell ref="A1:H1"/>
  </mergeCells>
  <conditionalFormatting sqref="H3:H7">
    <cfRule type="cellIs" dxfId="8" priority="1" stopIfTrue="1" operator="equal">
      <formula>"✅ Pass"</formula>
    </cfRule>
    <cfRule type="cellIs" dxfId="7" priority="2" stopIfTrue="1" operator="equal">
      <formula>"❌ Fail"</formula>
    </cfRule>
    <cfRule type="cellIs" dxfId="6"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H7" xr:uid="{00000000-0002-0000-0800-000000000000}">
      <formula1>"Chưa thực hiện,✅ Pass,❌ Fail,⏭ Skip"</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190</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191</v>
      </c>
      <c r="B3" s="12" t="s">
        <v>192</v>
      </c>
      <c r="C3" s="11" t="s">
        <v>41</v>
      </c>
      <c r="D3" s="12"/>
      <c r="E3" s="12" t="s">
        <v>193</v>
      </c>
      <c r="F3" s="12" t="s">
        <v>194</v>
      </c>
      <c r="G3" s="12"/>
      <c r="H3" s="11" t="s">
        <v>45</v>
      </c>
    </row>
    <row r="4" spans="1:8" ht="80" customHeight="1" x14ac:dyDescent="0.2">
      <c r="A4" s="11" t="s">
        <v>195</v>
      </c>
      <c r="B4" s="12" t="s">
        <v>196</v>
      </c>
      <c r="C4" s="11" t="s">
        <v>41</v>
      </c>
      <c r="D4" s="12"/>
      <c r="E4" s="12" t="s">
        <v>197</v>
      </c>
      <c r="F4" s="12" t="s">
        <v>198</v>
      </c>
      <c r="G4" s="12"/>
      <c r="H4" s="11" t="s">
        <v>45</v>
      </c>
    </row>
    <row r="5" spans="1:8" ht="80" customHeight="1" x14ac:dyDescent="0.2">
      <c r="A5" s="11" t="s">
        <v>199</v>
      </c>
      <c r="B5" s="12" t="s">
        <v>200</v>
      </c>
      <c r="C5" s="11" t="s">
        <v>58</v>
      </c>
      <c r="D5" s="12"/>
      <c r="E5" s="12" t="s">
        <v>201</v>
      </c>
      <c r="F5" s="12" t="s">
        <v>202</v>
      </c>
      <c r="G5" s="12"/>
      <c r="H5" s="11" t="s">
        <v>45</v>
      </c>
    </row>
    <row r="6" spans="1:8" ht="80" customHeight="1" x14ac:dyDescent="0.2">
      <c r="A6" s="11" t="s">
        <v>203</v>
      </c>
      <c r="B6" s="12" t="s">
        <v>204</v>
      </c>
      <c r="C6" s="11" t="s">
        <v>58</v>
      </c>
      <c r="D6" s="12"/>
      <c r="E6" s="12" t="s">
        <v>205</v>
      </c>
      <c r="F6" s="12" t="s">
        <v>206</v>
      </c>
      <c r="G6" s="12"/>
      <c r="H6" s="11" t="s">
        <v>45</v>
      </c>
    </row>
  </sheetData>
  <mergeCells count="1">
    <mergeCell ref="A1:H1"/>
  </mergeCells>
  <conditionalFormatting sqref="H3:H6">
    <cfRule type="cellIs" dxfId="5" priority="1" stopIfTrue="1" operator="equal">
      <formula>"✅ Pass"</formula>
    </cfRule>
    <cfRule type="cellIs" dxfId="4" priority="2" stopIfTrue="1" operator="equal">
      <formula>"❌ Fail"</formula>
    </cfRule>
    <cfRule type="cellIs" dxfId="3"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xr:uid="{00000000-0002-0000-0900-000000000000}">
      <formula1>"Chưa thực hiện,✅ Pass,❌ Fail,⏭ Skip"</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
  <sheetViews>
    <sheetView workbookViewId="0"/>
  </sheetViews>
  <sheetFormatPr baseColWidth="10" defaultColWidth="8.83203125" defaultRowHeight="15" x14ac:dyDescent="0.2"/>
  <cols>
    <col min="1" max="1" width="15" customWidth="1"/>
    <col min="2" max="2" width="30" customWidth="1"/>
    <col min="3" max="3" width="15" customWidth="1"/>
    <col min="4" max="4" width="25" customWidth="1"/>
    <col min="5" max="6" width="45" customWidth="1"/>
    <col min="7" max="7" width="35" customWidth="1"/>
    <col min="8" max="8" width="18" customWidth="1"/>
  </cols>
  <sheetData>
    <row r="1" spans="1:8" ht="40" customHeight="1" x14ac:dyDescent="0.2">
      <c r="A1" s="15" t="s">
        <v>207</v>
      </c>
      <c r="B1" s="14"/>
      <c r="C1" s="14"/>
      <c r="D1" s="14"/>
      <c r="E1" s="14"/>
      <c r="F1" s="14"/>
      <c r="G1" s="14"/>
      <c r="H1" s="14"/>
    </row>
    <row r="2" spans="1:8" ht="30" customHeight="1" x14ac:dyDescent="0.2">
      <c r="A2" s="10" t="s">
        <v>31</v>
      </c>
      <c r="B2" s="10" t="s">
        <v>32</v>
      </c>
      <c r="C2" s="10" t="s">
        <v>33</v>
      </c>
      <c r="D2" s="10" t="s">
        <v>34</v>
      </c>
      <c r="E2" s="10" t="s">
        <v>35</v>
      </c>
      <c r="F2" s="10" t="s">
        <v>36</v>
      </c>
      <c r="G2" s="10" t="s">
        <v>37</v>
      </c>
      <c r="H2" s="10" t="s">
        <v>38</v>
      </c>
    </row>
    <row r="3" spans="1:8" ht="80" customHeight="1" x14ac:dyDescent="0.2">
      <c r="A3" s="11" t="s">
        <v>208</v>
      </c>
      <c r="B3" s="12" t="s">
        <v>209</v>
      </c>
      <c r="C3" s="11" t="s">
        <v>41</v>
      </c>
      <c r="D3" s="12"/>
      <c r="E3" s="12" t="s">
        <v>210</v>
      </c>
      <c r="F3" s="12" t="s">
        <v>211</v>
      </c>
      <c r="G3" s="12"/>
      <c r="H3" s="11" t="s">
        <v>45</v>
      </c>
    </row>
    <row r="4" spans="1:8" ht="80" customHeight="1" x14ac:dyDescent="0.2">
      <c r="A4" s="11" t="s">
        <v>212</v>
      </c>
      <c r="B4" s="12" t="s">
        <v>213</v>
      </c>
      <c r="C4" s="11" t="s">
        <v>58</v>
      </c>
      <c r="D4" s="12"/>
      <c r="E4" s="12" t="s">
        <v>214</v>
      </c>
      <c r="F4" s="12" t="s">
        <v>215</v>
      </c>
      <c r="G4" s="12"/>
      <c r="H4" s="11" t="s">
        <v>45</v>
      </c>
    </row>
    <row r="5" spans="1:8" ht="80" customHeight="1" x14ac:dyDescent="0.2">
      <c r="A5" s="11" t="s">
        <v>216</v>
      </c>
      <c r="B5" s="12" t="s">
        <v>217</v>
      </c>
      <c r="C5" s="11" t="s">
        <v>58</v>
      </c>
      <c r="D5" s="12"/>
      <c r="E5" s="12" t="s">
        <v>218</v>
      </c>
      <c r="F5" s="12" t="s">
        <v>219</v>
      </c>
      <c r="G5" s="12"/>
      <c r="H5" s="11" t="s">
        <v>45</v>
      </c>
    </row>
    <row r="6" spans="1:8" ht="80" customHeight="1" x14ac:dyDescent="0.2">
      <c r="A6" s="11" t="s">
        <v>220</v>
      </c>
      <c r="B6" s="12" t="s">
        <v>221</v>
      </c>
      <c r="C6" s="11" t="s">
        <v>58</v>
      </c>
      <c r="D6" s="12"/>
      <c r="E6" s="12" t="s">
        <v>222</v>
      </c>
      <c r="F6" s="12" t="s">
        <v>223</v>
      </c>
      <c r="G6" s="12"/>
      <c r="H6" s="11" t="s">
        <v>45</v>
      </c>
    </row>
    <row r="7" spans="1:8" ht="80" customHeight="1" x14ac:dyDescent="0.2">
      <c r="A7" s="11" t="s">
        <v>224</v>
      </c>
      <c r="B7" s="12" t="s">
        <v>225</v>
      </c>
      <c r="C7" s="11" t="s">
        <v>136</v>
      </c>
      <c r="D7" s="12"/>
      <c r="E7" s="12" t="s">
        <v>226</v>
      </c>
      <c r="F7" s="12" t="s">
        <v>227</v>
      </c>
      <c r="G7" s="12"/>
      <c r="H7" s="11" t="s">
        <v>45</v>
      </c>
    </row>
  </sheetData>
  <mergeCells count="1">
    <mergeCell ref="A1:H1"/>
  </mergeCells>
  <conditionalFormatting sqref="H3:H7">
    <cfRule type="cellIs" dxfId="2" priority="1" stopIfTrue="1" operator="equal">
      <formula>"✅ Pass"</formula>
    </cfRule>
    <cfRule type="cellIs" dxfId="1" priority="2" stopIfTrue="1" operator="equal">
      <formula>"❌ Fail"</formula>
    </cfRule>
    <cfRule type="cellIs" dxfId="0" priority="3" stopIfTrue="1" operator="equal">
      <formula>"⏭ Skip"</formula>
    </cfRule>
  </conditionalFormatting>
  <dataValidations count="1">
    <dataValidation type="list" allowBlank="1" errorTitle="Lỗi nhập dữ liệu" error="Lựa chọn không hợp lệ. Vui lòng chọn trong danh sách." promptTitle="Trạng thái" prompt="Chọn trạng thái thực hiện test case" sqref="H3 H4 H5 H6 H7" xr:uid="{00000000-0002-0000-0A00-000000000000}">
      <formula1>"Chưa thực hiện,✅ Pass,❌ Fail,⏭ Skip"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Tổng quan Tiến độ</vt:lpstr>
      <vt:lpstr>TC-01-connection</vt:lpstr>
      <vt:lpstr>TC-02-greeting</vt:lpstr>
      <vt:lpstr>Sheet1</vt:lpstr>
      <vt:lpstr>TC-03-auth</vt:lpstr>
      <vt:lpstr>TC-04-bill</vt:lpstr>
      <vt:lpstr>TC-05-water-usage</vt:lpstr>
      <vt:lpstr>TC-06-outage</vt:lpstr>
      <vt:lpstr>TC-07-incident</vt:lpstr>
      <vt:lpstr>TC-08-procedure</vt:lpstr>
      <vt:lpstr>TC-09-transfer</vt:lpstr>
      <vt:lpstr>TC-10-special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Võ Vĩnh Lộc</cp:lastModifiedBy>
  <dcterms:created xsi:type="dcterms:W3CDTF">2026-05-31T09:04:01Z</dcterms:created>
  <dcterms:modified xsi:type="dcterms:W3CDTF">2026-06-03T00:49:23Z</dcterms:modified>
</cp:coreProperties>
</file>